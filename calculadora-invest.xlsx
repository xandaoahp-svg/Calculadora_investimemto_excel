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53D9D58E-4D0E-41D0-8351-6FEDD8CD14D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  <sheet name="Planilha2" sheetId="2" r:id="rId2"/>
  </sheets>
  <definedNames>
    <definedName name="Aporte">Planilha1!$D$18:$D$18</definedName>
    <definedName name="patrimonio">Planilha1!$D$21:$D$21</definedName>
    <definedName name="qtd_anos">Planilha1!$D$19:$D$19</definedName>
    <definedName name="Rendimento_carteira">Planilha1!$D$14:$D$14</definedName>
    <definedName name="salario">Planilha1!$D$13:$D$13</definedName>
    <definedName name="sugestao_investimento">Planilha1!$D$15:$D$15</definedName>
    <definedName name="taxa_mensal">Planilha1!$D$20:$D$20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 a="1"/>
  <c r="D21" i="1"/>
  <c r="C40" i="1"/>
  <c r="C41" i="1"/>
  <c r="C42" i="1"/>
  <c r="C43" i="1"/>
  <c r="C44" i="1"/>
  <c r="C39" i="1"/>
  <c r="G8" i="2"/>
  <c r="H6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5" i="1" a="1"/>
  <c r="C35" i="1"/>
  <c r="D22" i="1" a="1"/>
  <c r="D22" i="1" s="1"/>
  <c r="C25" i="1"/>
  <c r="D25" i="1" s="1" a="1"/>
  <c r="D25" i="1" s="1"/>
  <c r="C26" i="1"/>
  <c r="D26" i="1" s="1" a="1"/>
  <c r="D26" i="1" s="1"/>
  <c r="C27" i="1"/>
  <c r="D27" i="1" s="1" a="1"/>
  <c r="D27" i="1" s="1"/>
  <c r="C28" i="1"/>
  <c r="D28" i="1" s="1" a="1"/>
  <c r="D28" i="1" s="1"/>
  <c r="C29" i="1"/>
  <c r="D29" i="1" s="1" a="1"/>
  <c r="D29" i="1" s="1"/>
  <c r="D15" i="1"/>
  <c r="D39" i="1" l="1"/>
  <c r="D40" i="1"/>
  <c r="D41" i="1"/>
  <c r="D42" i="1"/>
  <c r="D43" i="1"/>
  <c r="D44" i="1"/>
  <c r="D4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<sst xmlns="http://schemas.openxmlformats.org/spreadsheetml/2006/main" count="70" uniqueCount="34">
  <si>
    <t xml:space="preserve">CONFIGURAÇOES </t>
  </si>
  <si>
    <t>Sálario</t>
  </si>
  <si>
    <t>Rendimento de carteira</t>
  </si>
  <si>
    <t>Sugestão de investimento</t>
  </si>
  <si>
    <t>investimento mensal</t>
  </si>
  <si>
    <t>Quanto investir por mês?</t>
  </si>
  <si>
    <t>por quantos anos?</t>
  </si>
  <si>
    <t>taxa de rendimento mensal?</t>
  </si>
  <si>
    <t>patrimonio acumulado?</t>
  </si>
  <si>
    <t>dividendos mensais?</t>
  </si>
  <si>
    <t>cénarios</t>
  </si>
  <si>
    <t>dividendos</t>
  </si>
  <si>
    <t>Quanto em 2 anos?</t>
  </si>
  <si>
    <t>Quanto em 5 anos?</t>
  </si>
  <si>
    <t>Quanto em 10 anos?</t>
  </si>
  <si>
    <t>Quanto em 20anos?</t>
  </si>
  <si>
    <t>Quanto em 30 anos?</t>
  </si>
  <si>
    <t>PERFIL</t>
  </si>
  <si>
    <t>MODERADO</t>
  </si>
  <si>
    <t xml:space="preserve">VALOR INVESTIDO POR MÊS </t>
  </si>
  <si>
    <t>TIPO DE FII</t>
  </si>
  <si>
    <t xml:space="preserve">Percentual sugerido </t>
  </si>
  <si>
    <t>Valores</t>
  </si>
  <si>
    <t>PAPEL</t>
  </si>
  <si>
    <t>TIJOLO</t>
  </si>
  <si>
    <t>HÍBRIDO</t>
  </si>
  <si>
    <t>FOFs</t>
  </si>
  <si>
    <t>DESENVOLVIMENTO</t>
  </si>
  <si>
    <t>HOTELARIA S</t>
  </si>
  <si>
    <t>CHAVE</t>
  </si>
  <si>
    <t>TIPO E FII</t>
  </si>
  <si>
    <t>%</t>
  </si>
  <si>
    <t>CONSERVADOR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</si>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</sst>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7">
    <font>
      <sz val="11"/>
      <color theme="1"/>
      <name val="Calibri"/>
      <family val="2"/>
      <scheme val="minor"/>
    </font>
    <font>
      <b/>
      <sz val="20"/>
      <color theme="0"/>
      <name val="Calibri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Calibri"/>
      <scheme val="minor"/>
    </font>
    <font>
      <sz val="12"/>
      <color theme="1"/>
      <name val="Aptos Narrow"/>
    </font>
    <font>
      <b/>
      <sz val="12"/>
      <color theme="1"/>
      <name val="Aptos Narrow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medium">
        <color theme="1"/>
      </right>
      <top/>
      <bottom style="thin">
        <color theme="0" tint="-0.249977111117893"/>
      </bottom>
      <diagonal/>
    </border>
    <border>
      <left/>
      <right style="medium">
        <color theme="1"/>
      </right>
      <top style="medium">
        <color theme="1"/>
      </top>
      <bottom style="thin">
        <color theme="0" tint="-0.249977111117893"/>
      </bottom>
      <diagonal/>
    </border>
    <border>
      <left/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theme="1"/>
      </left>
      <right style="thin">
        <color theme="0" tint="-0.249977111117893"/>
      </right>
      <top style="medium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medium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thin">
        <color theme="0" tint="-0.249977111117893"/>
      </right>
      <top/>
      <bottom style="medium">
        <color theme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Border="1"/>
    <xf numFmtId="0" fontId="2" fillId="0" borderId="0" xfId="0" applyFont="1"/>
    <xf numFmtId="0" fontId="1" fillId="0" borderId="0" xfId="0" applyFont="1" applyFill="1" applyBorder="1" applyAlignment="1">
      <alignment horizontal="left"/>
    </xf>
    <xf numFmtId="0" fontId="0" fillId="0" borderId="0" xfId="0" applyFill="1"/>
    <xf numFmtId="9" fontId="0" fillId="0" borderId="0" xfId="0" applyNumberFormat="1"/>
    <xf numFmtId="0" fontId="0" fillId="0" borderId="7" xfId="0" applyFill="1" applyBorder="1"/>
    <xf numFmtId="0" fontId="0" fillId="0" borderId="0" xfId="0" applyFill="1" applyBorder="1"/>
    <xf numFmtId="0" fontId="0" fillId="5" borderId="0" xfId="0" applyFill="1" applyBorder="1" applyAlignment="1">
      <alignment wrapText="1"/>
    </xf>
    <xf numFmtId="0" fontId="4" fillId="3" borderId="2" xfId="0" applyFont="1" applyFill="1" applyBorder="1" applyAlignment="1"/>
    <xf numFmtId="0" fontId="4" fillId="3" borderId="4" xfId="0" applyFont="1" applyFill="1" applyBorder="1" applyAlignment="1"/>
    <xf numFmtId="8" fontId="0" fillId="3" borderId="10" xfId="0" applyNumberFormat="1" applyFill="1" applyBorder="1" applyAlignment="1">
      <alignment horizontal="center"/>
    </xf>
    <xf numFmtId="8" fontId="0" fillId="3" borderId="1" xfId="0" applyNumberFormat="1" applyFill="1" applyBorder="1" applyAlignment="1">
      <alignment horizontal="center"/>
    </xf>
    <xf numFmtId="164" fontId="0" fillId="5" borderId="11" xfId="0" applyNumberFormat="1" applyFill="1" applyBorder="1"/>
    <xf numFmtId="0" fontId="2" fillId="0" borderId="0" xfId="0" applyFont="1" applyBorder="1"/>
    <xf numFmtId="0" fontId="0" fillId="0" borderId="0" xfId="0" applyBorder="1" applyAlignment="1"/>
    <xf numFmtId="0" fontId="1" fillId="5" borderId="0" xfId="0" applyFont="1" applyFill="1" applyBorder="1" applyAlignment="1"/>
    <xf numFmtId="8" fontId="0" fillId="5" borderId="0" xfId="0" applyNumberFormat="1" applyFill="1" applyBorder="1" applyAlignment="1">
      <alignment horizontal="center"/>
    </xf>
    <xf numFmtId="0" fontId="0" fillId="0" borderId="12" xfId="0" applyBorder="1"/>
    <xf numFmtId="0" fontId="0" fillId="4" borderId="15" xfId="0" applyFill="1" applyBorder="1"/>
    <xf numFmtId="164" fontId="0" fillId="3" borderId="3" xfId="0" applyNumberFormat="1" applyFill="1" applyBorder="1"/>
    <xf numFmtId="9" fontId="0" fillId="3" borderId="3" xfId="0" applyNumberFormat="1" applyFill="1" applyBorder="1"/>
    <xf numFmtId="164" fontId="0" fillId="3" borderId="6" xfId="0" applyNumberFormat="1" applyFill="1" applyBorder="1"/>
    <xf numFmtId="0" fontId="1" fillId="2" borderId="9" xfId="0" applyFont="1" applyFill="1" applyBorder="1" applyAlignment="1">
      <alignment horizontal="left"/>
    </xf>
    <xf numFmtId="16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10" xfId="0" applyNumberFormat="1" applyBorder="1" applyAlignment="1">
      <alignment horizontal="center"/>
    </xf>
    <xf numFmtId="8" fontId="0" fillId="3" borderId="6" xfId="0" applyNumberFormat="1" applyFill="1" applyBorder="1" applyAlignment="1">
      <alignment horizontal="center"/>
    </xf>
    <xf numFmtId="0" fontId="1" fillId="2" borderId="13" xfId="0" applyFont="1" applyFill="1" applyBorder="1" applyAlignment="1"/>
    <xf numFmtId="0" fontId="1" fillId="2" borderId="14" xfId="0" applyFont="1" applyFill="1" applyBorder="1" applyAlignment="1"/>
    <xf numFmtId="0" fontId="1" fillId="2" borderId="16" xfId="0" applyFont="1" applyFill="1" applyBorder="1" applyAlignment="1"/>
    <xf numFmtId="8" fontId="0" fillId="3" borderId="8" xfId="0" applyNumberFormat="1" applyFill="1" applyBorder="1" applyAlignment="1">
      <alignment horizontal="center"/>
    </xf>
    <xf numFmtId="8" fontId="0" fillId="3" borderId="3" xfId="0" applyNumberFormat="1" applyFill="1" applyBorder="1" applyAlignment="1">
      <alignment horizontal="center"/>
    </xf>
    <xf numFmtId="8" fontId="0" fillId="3" borderId="5" xfId="0" applyNumberFormat="1" applyFill="1" applyBorder="1" applyAlignment="1">
      <alignment horizontal="center"/>
    </xf>
    <xf numFmtId="0" fontId="0" fillId="5" borderId="0" xfId="0" applyFill="1"/>
    <xf numFmtId="0" fontId="0" fillId="5" borderId="0" xfId="0" applyFill="1" applyBorder="1"/>
    <xf numFmtId="0" fontId="0" fillId="6" borderId="0" xfId="0" applyFill="1" applyBorder="1" applyAlignment="1"/>
    <xf numFmtId="0" fontId="2" fillId="5" borderId="0" xfId="0" applyFont="1" applyFill="1" applyBorder="1"/>
    <xf numFmtId="0" fontId="6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6" fillId="7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164" fontId="6" fillId="7" borderId="0" xfId="0" applyNumberFormat="1" applyFont="1" applyFill="1" applyAlignment="1">
      <alignment horizontal="center"/>
    </xf>
    <xf numFmtId="10" fontId="0" fillId="5" borderId="0" xfId="0" applyNumberFormat="1" applyFill="1"/>
    <xf numFmtId="9" fontId="0" fillId="0" borderId="0" xfId="0" applyNumberFormat="1" applyAlignment="1">
      <alignment horizontal="center" wrapText="1"/>
    </xf>
    <xf numFmtId="0" fontId="0" fillId="6" borderId="0" xfId="0" applyFill="1" applyAlignment="1">
      <alignment wrapText="1"/>
    </xf>
    <xf numFmtId="0" fontId="0" fillId="8" borderId="0" xfId="0" applyFill="1"/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2C-4A77-8638-731B013940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2C-4A77-8638-731B013940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2C-4A77-8638-731B013940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2C-4A77-8638-731B013940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52C-4A77-8638-731B0139400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52C-4A77-8638-731B01394001}"/>
              </c:ext>
            </c:extLst>
          </c:dPt>
          <c:cat>
            <c:strRef>
              <c:f>Planilha1!$B$39:$B$44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 S</c:v>
                </c:pt>
              </c:strCache>
            </c:strRef>
          </c:cat>
          <c:val>
            <c:numRef>
              <c:f>Planilha1!$C$39:$C$44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9-484F-BC15-79A64BBDB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104775</xdr:rowOff>
    </xdr:from>
    <xdr:to>
      <xdr:col>4</xdr:col>
      <xdr:colOff>342900</xdr:colOff>
      <xdr:row>10</xdr:row>
      <xdr:rowOff>123825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90EF623-F23D-5D53-5489-EB11564C3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38125" y="104775"/>
          <a:ext cx="6981825" cy="1924050"/>
        </a:xfrm>
        <a:prstGeom prst="rect">
          <a:avLst/>
        </a:prstGeom>
      </xdr:spPr>
    </xdr:pic>
    <xdr:clientData/>
  </xdr:twoCellAnchor>
  <xdr:twoCellAnchor>
    <xdr:from>
      <xdr:col>1</xdr:col>
      <xdr:colOff>247650</xdr:colOff>
      <xdr:row>46</xdr:row>
      <xdr:rowOff>28575</xdr:rowOff>
    </xdr:from>
    <xdr:to>
      <xdr:col>4</xdr:col>
      <xdr:colOff>247650</xdr:colOff>
      <xdr:row>60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8BF12BC-5166-C364-3B2A-E83156116A1A}"/>
            </a:ext>
            <a:ext uri="{147F2762-F138-4A5C-976F-8EAC2B608ADB}">
              <a16:predDERef xmlns:a16="http://schemas.microsoft.com/office/drawing/2014/main" pred="{590EF623-F23D-5D53-5489-EB11564C3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K45"/>
  <sheetViews>
    <sheetView showGridLines="0" tabSelected="1" topLeftCell="A12" workbookViewId="0">
      <selection activeCell="E18" sqref="E18"/>
    </sheetView>
  </sheetViews>
  <sheetFormatPr defaultColWidth="0" defaultRowHeight="15"/>
  <cols>
    <col min="1" max="1" width="9.140625" customWidth="1"/>
    <col min="2" max="2" width="34.140625" bestFit="1" customWidth="1"/>
    <col min="3" max="3" width="40.85546875" customWidth="1"/>
    <col min="4" max="4" width="19" bestFit="1" customWidth="1"/>
    <col min="5" max="5" width="6.7109375" customWidth="1"/>
    <col min="6" max="6" width="9.140625" customWidth="1"/>
    <col min="7" max="7" width="7.42578125" customWidth="1"/>
    <col min="8" max="8" width="6.140625" customWidth="1"/>
    <col min="9" max="9" width="6.28515625" customWidth="1"/>
    <col min="10" max="10" width="9.140625" customWidth="1"/>
    <col min="11" max="11" width="9.140625" hidden="1" customWidth="1"/>
  </cols>
  <sheetData>
    <row r="11" spans="2:10">
      <c r="D11" s="18"/>
      <c r="E11" s="1"/>
      <c r="F11" s="1"/>
      <c r="J11" s="34"/>
    </row>
    <row r="12" spans="2:10" ht="21">
      <c r="B12" s="50" t="s">
        <v>0</v>
      </c>
      <c r="C12" s="51"/>
      <c r="D12" s="19"/>
      <c r="E12" s="1"/>
      <c r="F12" s="35"/>
    </row>
    <row r="13" spans="2:10" ht="15.75">
      <c r="B13" s="60" t="s">
        <v>1</v>
      </c>
      <c r="C13" s="61"/>
      <c r="D13" s="20">
        <v>2500</v>
      </c>
      <c r="E13" s="1"/>
      <c r="F13" s="1"/>
      <c r="I13" s="1"/>
    </row>
    <row r="14" spans="2:10" ht="15.75">
      <c r="B14" s="62" t="s">
        <v>2</v>
      </c>
      <c r="C14" s="63"/>
      <c r="D14" s="21">
        <v>0.01</v>
      </c>
      <c r="I14" s="1"/>
    </row>
    <row r="15" spans="2:10" ht="15.75">
      <c r="B15" s="64" t="s">
        <v>3</v>
      </c>
      <c r="C15" s="65"/>
      <c r="D15" s="22">
        <f>D13*30%</f>
        <v>750</v>
      </c>
      <c r="I15" s="1"/>
    </row>
    <row r="16" spans="2:10">
      <c r="B16" s="8"/>
      <c r="C16" s="13"/>
    </row>
    <row r="17" spans="1:11" ht="26.25">
      <c r="B17" s="52" t="s">
        <v>4</v>
      </c>
      <c r="C17" s="53"/>
      <c r="D17" s="23"/>
      <c r="E17" s="1"/>
    </row>
    <row r="18" spans="1:11" ht="15.75">
      <c r="B18" s="54" t="s">
        <v>5</v>
      </c>
      <c r="C18" s="55"/>
      <c r="D18" s="24">
        <v>200</v>
      </c>
      <c r="E18" s="1"/>
    </row>
    <row r="19" spans="1:11" ht="15.75">
      <c r="B19" s="54" t="s">
        <v>6</v>
      </c>
      <c r="C19" s="55"/>
      <c r="D19" s="25">
        <v>5</v>
      </c>
      <c r="E19" s="1"/>
    </row>
    <row r="20" spans="1:11" ht="15.75">
      <c r="B20" s="54" t="s">
        <v>7</v>
      </c>
      <c r="C20" s="55"/>
      <c r="D20" s="26">
        <v>1.0800000000000001E-2</v>
      </c>
      <c r="E20" s="1"/>
    </row>
    <row r="21" spans="1:11" ht="16.5" customHeight="1">
      <c r="B21" s="56" t="s">
        <v>8</v>
      </c>
      <c r="C21" s="57"/>
      <c r="D21" s="11" cm="1">
        <f t="array" ref="D21">FV(taxa_mensal,qtd_anos*12,Aporte*-1)</f>
        <v>16760.803871851687</v>
      </c>
      <c r="E21" s="3"/>
      <c r="J21" s="3"/>
    </row>
    <row r="22" spans="1:11" ht="15.75">
      <c r="B22" s="58" t="s">
        <v>9</v>
      </c>
      <c r="C22" s="59"/>
      <c r="D22" s="27" cm="1">
        <f t="array" ref="D22">patrimonio*Rendimento_carteira</f>
        <v>167.60803871851687</v>
      </c>
      <c r="E22" s="1"/>
      <c r="K22" s="6"/>
    </row>
    <row r="23" spans="1:11" ht="9.75" customHeight="1">
      <c r="E23" s="1"/>
    </row>
    <row r="24" spans="1:11" ht="22.5" customHeight="1">
      <c r="B24" s="28" t="s">
        <v>10</v>
      </c>
      <c r="C24" s="29"/>
      <c r="D24" s="30" t="s">
        <v>11</v>
      </c>
      <c r="E24" s="16"/>
    </row>
    <row r="25" spans="1:11" ht="15.75" customHeight="1">
      <c r="B25" s="9" t="s">
        <v>12</v>
      </c>
      <c r="C25" s="12">
        <f>FV($D$20,$A30*12,-$D$18)</f>
        <v>5446.172732116318</v>
      </c>
      <c r="D25" s="31" cm="1">
        <f t="array" ref="D25">C25*Rendimento_carteira</f>
        <v>54.461727321163181</v>
      </c>
      <c r="E25" s="17"/>
      <c r="J25" s="1"/>
      <c r="K25" s="1"/>
    </row>
    <row r="26" spans="1:11" ht="15.75">
      <c r="B26" s="9" t="s">
        <v>13</v>
      </c>
      <c r="C26" s="12">
        <f>FV($D$20,$A31*12,-$D$18)</f>
        <v>16760.803871851687</v>
      </c>
      <c r="D26" s="32" cm="1">
        <f t="array" ref="D26">C26*Rendimento_carteira</f>
        <v>167.60803871851687</v>
      </c>
      <c r="E26" s="17"/>
      <c r="J26" s="1"/>
      <c r="K26" s="1"/>
    </row>
    <row r="27" spans="1:11" ht="15.75">
      <c r="B27" s="9" t="s">
        <v>14</v>
      </c>
      <c r="C27" s="12">
        <f>FV($D$20,$A32*12,-$D$18)</f>
        <v>48691.533250960019</v>
      </c>
      <c r="D27" s="32" cm="1">
        <f t="array" ref="D27">C27*Rendimento_carteira</f>
        <v>486.9153325096002</v>
      </c>
      <c r="E27" s="17"/>
      <c r="I27" s="4"/>
    </row>
    <row r="28" spans="1:11" ht="15.75">
      <c r="B28" s="9" t="s">
        <v>15</v>
      </c>
      <c r="C28" s="12">
        <f>FV($D$20,$A33*12,-$D$18)</f>
        <v>225409.79865970465</v>
      </c>
      <c r="D28" s="32" cm="1">
        <f t="array" ref="D28">C28*Rendimento_carteira</f>
        <v>2254.0979865970467</v>
      </c>
      <c r="E28" s="17"/>
    </row>
    <row r="29" spans="1:11" ht="15.75">
      <c r="B29" s="10" t="s">
        <v>16</v>
      </c>
      <c r="C29" s="33">
        <f>FV($D$20,$A34*12,-$D$18)</f>
        <v>866780.96206335025</v>
      </c>
      <c r="D29" s="27" cm="1">
        <f t="array" ref="D29">C29*Rendimento_carteira</f>
        <v>8667.8096206335031</v>
      </c>
      <c r="E29" s="17"/>
      <c r="H29" s="5"/>
    </row>
    <row r="30" spans="1:11">
      <c r="A30" s="2">
        <v>2</v>
      </c>
      <c r="B30" s="1"/>
      <c r="C30" s="1"/>
      <c r="D30" s="1"/>
      <c r="E30" s="1"/>
    </row>
    <row r="31" spans="1:11">
      <c r="A31" s="2">
        <v>5</v>
      </c>
      <c r="J31" s="1"/>
    </row>
    <row r="32" spans="1:11">
      <c r="A32" s="2">
        <v>10</v>
      </c>
      <c r="J32" s="1"/>
    </row>
    <row r="33" spans="1:8">
      <c r="A33" s="14">
        <v>20</v>
      </c>
      <c r="B33" s="1"/>
      <c r="C33" s="1"/>
      <c r="D33" s="1"/>
      <c r="E33" s="1"/>
      <c r="F33" s="1"/>
    </row>
    <row r="34" spans="1:8">
      <c r="A34" s="37">
        <v>30</v>
      </c>
      <c r="B34" s="36" t="s">
        <v>17</v>
      </c>
      <c r="C34" s="36" t="s">
        <v>18</v>
      </c>
      <c r="D34" s="36"/>
      <c r="E34" s="15"/>
      <c r="F34" s="1"/>
    </row>
    <row r="35" spans="1:8">
      <c r="B35" s="38" t="s">
        <v>19</v>
      </c>
      <c r="C35" s="42" cm="1">
        <f t="array" ref="C35">Aporte</f>
        <v>200</v>
      </c>
      <c r="H35" s="7"/>
    </row>
    <row r="38" spans="1:8" ht="15.75" customHeight="1">
      <c r="B38" s="41" t="s">
        <v>20</v>
      </c>
      <c r="C38" s="41" t="s">
        <v>21</v>
      </c>
      <c r="D38" s="41" t="s">
        <v>22</v>
      </c>
    </row>
    <row r="39" spans="1:8" ht="19.5" customHeight="1">
      <c r="B39" s="39" t="s">
        <v>23</v>
      </c>
      <c r="C39" s="47">
        <f>VLOOKUP($C$34&amp;"-"&amp;B39,Planilha2!A1:D20,4,FALSE)</f>
        <v>0.32</v>
      </c>
      <c r="D39" s="43">
        <f>C39*$C$35</f>
        <v>64</v>
      </c>
    </row>
    <row r="40" spans="1:8">
      <c r="B40" s="39" t="s">
        <v>24</v>
      </c>
      <c r="C40" s="47">
        <f>VLOOKUP($C$34&amp;"-"&amp;B40,Planilha2!A2:D21,4,FALSE)</f>
        <v>0.35</v>
      </c>
      <c r="D40" s="43">
        <f t="shared" ref="D40:D44" si="0">C40*$C$35</f>
        <v>70</v>
      </c>
    </row>
    <row r="41" spans="1:8">
      <c r="B41" s="39" t="s">
        <v>25</v>
      </c>
      <c r="C41" s="47">
        <f>VLOOKUP($C$34&amp;"-"&amp;B41,Planilha2!A3:D22,4,FALSE)</f>
        <v>0.08</v>
      </c>
      <c r="D41" s="43">
        <f t="shared" si="0"/>
        <v>16</v>
      </c>
    </row>
    <row r="42" spans="1:8">
      <c r="B42" s="39" t="s">
        <v>26</v>
      </c>
      <c r="C42" s="47">
        <f>VLOOKUP($C$34&amp;"-"&amp;B42,Planilha2!A4:D23,4,FALSE)</f>
        <v>0.05</v>
      </c>
      <c r="D42" s="43">
        <f t="shared" si="0"/>
        <v>10</v>
      </c>
    </row>
    <row r="43" spans="1:8">
      <c r="B43" s="39" t="s">
        <v>27</v>
      </c>
      <c r="C43" s="47">
        <f>VLOOKUP($C$34&amp;"-"&amp;B43,Planilha2!A5:D24,4,FALSE)</f>
        <v>0.1</v>
      </c>
      <c r="D43" s="43">
        <f t="shared" si="0"/>
        <v>20</v>
      </c>
    </row>
    <row r="44" spans="1:8">
      <c r="B44" s="39" t="s">
        <v>28</v>
      </c>
      <c r="C44" s="47">
        <f>VLOOKUP($C$34&amp;"-"&amp;B44,Planilha2!A6:D25,4,FALSE)</f>
        <v>0.1</v>
      </c>
      <c r="D44" s="43">
        <f t="shared" si="0"/>
        <v>20</v>
      </c>
    </row>
    <row r="45" spans="1:8">
      <c r="B45" s="44"/>
      <c r="C45" s="44"/>
      <c r="D45" s="45">
        <f>SUM(D39:D44)</f>
        <v>200</v>
      </c>
    </row>
  </sheetData>
  <mergeCells count="10">
    <mergeCell ref="B12:C12"/>
    <mergeCell ref="B17:C17"/>
    <mergeCell ref="B18:C18"/>
    <mergeCell ref="B21:C21"/>
    <mergeCell ref="B22:C22"/>
    <mergeCell ref="B19:C19"/>
    <mergeCell ref="B20:C20"/>
    <mergeCell ref="B13:C13"/>
    <mergeCell ref="B14:C14"/>
    <mergeCell ref="B15:C15"/>
  </mergeCells>
  <dataValidations count="1">
    <dataValidation type="list" allowBlank="1" showInputMessage="1" showErrorMessage="1" sqref="C34" xr:uid="{8F876F7F-7A93-46B3-ABB7-5F3D6E73429D}">
      <formula1>"AGRESSIVO,CONSERVADOR,MODERADO"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410B1-1959-40BF-BC4E-84F5CA4BF202}">
  <dimension ref="A2:I20"/>
  <sheetViews>
    <sheetView workbookViewId="0">
      <selection sqref="A1:D20"/>
    </sheetView>
  </sheetViews>
  <sheetFormatPr defaultRowHeight="15"/>
  <cols>
    <col min="1" max="1" width="30.140625" customWidth="1"/>
    <col min="2" max="2" width="17.42578125" customWidth="1"/>
    <col min="3" max="3" width="18.140625" customWidth="1"/>
    <col min="4" max="4" width="11.7109375" customWidth="1"/>
    <col min="7" max="7" width="18.7109375" customWidth="1"/>
    <col min="8" max="8" width="30.7109375" bestFit="1" customWidth="1"/>
  </cols>
  <sheetData>
    <row r="2" spans="1:9">
      <c r="A2" t="s">
        <v>29</v>
      </c>
      <c r="B2" t="s">
        <v>17</v>
      </c>
      <c r="C2" t="s">
        <v>30</v>
      </c>
      <c r="D2" t="s">
        <v>31</v>
      </c>
    </row>
    <row r="3" spans="1:9">
      <c r="A3" t="str">
        <f>B3&amp;"-"&amp;C3</f>
        <v>CONSERVADOR-PAPEL</v>
      </c>
      <c r="B3" t="s">
        <v>32</v>
      </c>
      <c r="C3" s="39" t="s">
        <v>23</v>
      </c>
      <c r="D3" s="40">
        <v>0.3</v>
      </c>
    </row>
    <row r="4" spans="1:9">
      <c r="A4" t="str">
        <f t="shared" ref="A4:A20" si="0">B4&amp;"-"&amp;C4</f>
        <v>CONSERVADOR-TIJOLO</v>
      </c>
      <c r="B4" t="s">
        <v>32</v>
      </c>
      <c r="C4" s="39" t="s">
        <v>24</v>
      </c>
      <c r="D4" s="40">
        <v>0.5</v>
      </c>
    </row>
    <row r="5" spans="1:9">
      <c r="A5" t="str">
        <f t="shared" si="0"/>
        <v>CONSERVADOR-HÍBRIDO</v>
      </c>
      <c r="B5" t="s">
        <v>32</v>
      </c>
      <c r="C5" s="39" t="s">
        <v>25</v>
      </c>
      <c r="D5" s="40">
        <v>0.1</v>
      </c>
      <c r="I5" t="s">
        <v>31</v>
      </c>
    </row>
    <row r="6" spans="1:9">
      <c r="A6" t="str">
        <f t="shared" si="0"/>
        <v>CONSERVADOR-FOFs</v>
      </c>
      <c r="B6" t="s">
        <v>32</v>
      </c>
      <c r="C6" s="39" t="s">
        <v>26</v>
      </c>
      <c r="D6" s="40">
        <v>0.1</v>
      </c>
      <c r="G6" s="48"/>
      <c r="H6" s="46" t="e">
        <f>VLOOKUP(G6,$A$2:$D$20,4,FALSE)</f>
        <v>#N/A</v>
      </c>
    </row>
    <row r="7" spans="1:9">
      <c r="A7" t="str">
        <f t="shared" si="0"/>
        <v>CONSERVADOR-DESENVOLVIMENTO</v>
      </c>
      <c r="B7" t="s">
        <v>32</v>
      </c>
      <c r="C7" s="39" t="s">
        <v>27</v>
      </c>
      <c r="D7" s="40">
        <v>0</v>
      </c>
    </row>
    <row r="8" spans="1:9">
      <c r="A8" t="str">
        <f t="shared" si="0"/>
        <v>CONSERVADOR-HOTELARIA S</v>
      </c>
      <c r="B8" t="s">
        <v>32</v>
      </c>
      <c r="C8" s="39" t="s">
        <v>28</v>
      </c>
      <c r="D8" s="40">
        <v>0</v>
      </c>
      <c r="G8" s="49">
        <f>VLOOKUP(A19,A3:D20,4,FALSE)</f>
        <v>0.2</v>
      </c>
      <c r="H8" s="49"/>
    </row>
    <row r="9" spans="1:9">
      <c r="A9" t="str">
        <f t="shared" si="0"/>
        <v>MODERADO-PAPEL</v>
      </c>
      <c r="B9" t="s">
        <v>18</v>
      </c>
      <c r="C9" s="39" t="s">
        <v>23</v>
      </c>
      <c r="D9" s="40">
        <v>0.32</v>
      </c>
    </row>
    <row r="10" spans="1:9">
      <c r="A10" t="str">
        <f t="shared" si="0"/>
        <v>MODERADO-TIJOLO</v>
      </c>
      <c r="B10" t="s">
        <v>18</v>
      </c>
      <c r="C10" s="39" t="s">
        <v>24</v>
      </c>
      <c r="D10" s="40">
        <v>0.35</v>
      </c>
    </row>
    <row r="11" spans="1:9">
      <c r="A11" t="str">
        <f t="shared" si="0"/>
        <v>MODERADO-HÍBRIDO</v>
      </c>
      <c r="B11" t="s">
        <v>18</v>
      </c>
      <c r="C11" s="39" t="s">
        <v>25</v>
      </c>
      <c r="D11" s="40">
        <v>0.08</v>
      </c>
    </row>
    <row r="12" spans="1:9">
      <c r="A12" t="str">
        <f t="shared" si="0"/>
        <v>MODERADO-FOFs</v>
      </c>
      <c r="B12" t="s">
        <v>18</v>
      </c>
      <c r="C12" s="39" t="s">
        <v>26</v>
      </c>
      <c r="D12" s="40">
        <v>0.05</v>
      </c>
    </row>
    <row r="13" spans="1:9">
      <c r="A13" t="str">
        <f t="shared" si="0"/>
        <v>MODERADO-DESENVOLVIMENTO</v>
      </c>
      <c r="B13" t="s">
        <v>18</v>
      </c>
      <c r="C13" s="39" t="s">
        <v>27</v>
      </c>
      <c r="D13" s="40">
        <v>0.1</v>
      </c>
    </row>
    <row r="14" spans="1:9">
      <c r="A14" t="str">
        <f t="shared" si="0"/>
        <v>MODERADO-HOTELARIA S</v>
      </c>
      <c r="B14" t="s">
        <v>18</v>
      </c>
      <c r="C14" s="39" t="s">
        <v>28</v>
      </c>
      <c r="D14" s="40">
        <v>0.1</v>
      </c>
    </row>
    <row r="15" spans="1:9">
      <c r="A15" t="str">
        <f t="shared" si="0"/>
        <v>AGRESSIVO-PAPEL</v>
      </c>
      <c r="B15" t="s">
        <v>33</v>
      </c>
      <c r="C15" s="39" t="s">
        <v>23</v>
      </c>
      <c r="D15" s="40">
        <v>0.5</v>
      </c>
    </row>
    <row r="16" spans="1:9">
      <c r="A16" t="str">
        <f t="shared" si="0"/>
        <v>AGRESSIVO-TIJOLO</v>
      </c>
      <c r="B16" t="s">
        <v>33</v>
      </c>
      <c r="C16" s="39" t="s">
        <v>24</v>
      </c>
      <c r="D16" s="40">
        <v>0.1</v>
      </c>
    </row>
    <row r="17" spans="1:4">
      <c r="A17" t="str">
        <f t="shared" si="0"/>
        <v>AGRESSIVO-HÍBRIDO</v>
      </c>
      <c r="B17" t="s">
        <v>33</v>
      </c>
      <c r="C17" s="39" t="s">
        <v>25</v>
      </c>
      <c r="D17" s="40">
        <v>0.05</v>
      </c>
    </row>
    <row r="18" spans="1:4">
      <c r="A18" t="str">
        <f t="shared" si="0"/>
        <v>AGRESSIVO-FOFs</v>
      </c>
      <c r="B18" t="s">
        <v>33</v>
      </c>
      <c r="C18" s="39" t="s">
        <v>26</v>
      </c>
      <c r="D18" s="40">
        <v>0.05</v>
      </c>
    </row>
    <row r="19" spans="1:4">
      <c r="A19" t="str">
        <f t="shared" si="0"/>
        <v>AGRESSIVO-DESENVOLVIMENTO</v>
      </c>
      <c r="B19" t="s">
        <v>33</v>
      </c>
      <c r="C19" s="39" t="s">
        <v>27</v>
      </c>
      <c r="D19" s="40">
        <v>0.2</v>
      </c>
    </row>
    <row r="20" spans="1:4">
      <c r="A20" t="str">
        <f t="shared" si="0"/>
        <v>AGRESSIVO-HOTELARIA S</v>
      </c>
      <c r="B20" t="s">
        <v>33</v>
      </c>
      <c r="C20" s="39" t="s">
        <v>28</v>
      </c>
      <c r="D20" s="40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2026-01-31T05:09:29Z</dcterms:created>
  <dcterms:modified xsi:type="dcterms:W3CDTF">2026-02-04T00:43:45Z</dcterms:modified>
  <cp:category/>
  <cp:contentStatus/>
</cp:coreProperties>
</file>